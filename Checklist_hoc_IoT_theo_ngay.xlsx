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Đại Học Điện Lực\Nam 4 ky 1\IoT\"/>
    </mc:Choice>
  </mc:AlternateContent>
  <xr:revisionPtr revIDLastSave="0" documentId="13_ncr:1_{7879D162-5692-4E4B-9DB5-E2908D55A5FE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Checklist" sheetId="1" r:id="rId1"/>
    <sheet name="TongQuan" sheetId="2" r:id="rId2"/>
  </sheets>
  <definedNames>
    <definedName name="_xlnm.Print_Titles" localSheetId="0">Checklist!$5:$5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2" l="1"/>
  <c r="D12" i="2" s="1"/>
  <c r="B12" i="2"/>
  <c r="C11" i="2"/>
  <c r="D11" i="2" s="1"/>
  <c r="B11" i="2"/>
  <c r="C10" i="2"/>
  <c r="D10" i="2" s="1"/>
  <c r="B10" i="2"/>
  <c r="C9" i="2"/>
  <c r="D9" i="2" s="1"/>
  <c r="B9" i="2"/>
  <c r="C8" i="2"/>
  <c r="D8" i="2" s="1"/>
  <c r="B8" i="2"/>
  <c r="C7" i="2"/>
  <c r="D7" i="2" s="1"/>
  <c r="B7" i="2"/>
  <c r="C6" i="2"/>
  <c r="D6" i="2" s="1"/>
  <c r="B6" i="2"/>
  <c r="C5" i="2"/>
  <c r="D5" i="2" s="1"/>
  <c r="B5" i="2"/>
  <c r="B13" i="2" s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C13" i="2" l="1"/>
  <c r="D13" i="2" s="1"/>
</calcChain>
</file>

<file path=xl/sharedStrings.xml><?xml version="1.0" encoding="utf-8"?>
<sst xmlns="http://schemas.openxmlformats.org/spreadsheetml/2006/main" count="149" uniqueCount="88">
  <si>
    <t>CHECKLIST HỌC IoT THEO NGÀY — SMART HOME</t>
  </si>
  <si>
    <t>Nhập ngày bắt đầu ở ô vàng bên dưới để tự tính ngày cho từng buổi học. Chọn trạng thái ở cột F (danh sách thả xuống).</t>
  </si>
  <si>
    <t>Ngày bắt đầu:</t>
  </si>
  <si>
    <t>Tổng số ngày trong lộ trình:</t>
  </si>
  <si>
    <t>Ngày #</t>
  </si>
  <si>
    <t>Ngày (dự kiến)</t>
  </si>
  <si>
    <t>Giai đoạn</t>
  </si>
  <si>
    <t>Việc cần làm hôm nay</t>
  </si>
  <si>
    <t>Tài nguyên / Ghi chú</t>
  </si>
  <si>
    <t>Trạng thái</t>
  </si>
  <si>
    <t>GĐ0 - Trải nghiệm nhanh</t>
  </si>
  <si>
    <t>Cài Home Assistant + add-on ESPHome; viết YAML cho ESP32 + DHT22; flash và xem thiết bị xuất hiện trên dashboard</t>
  </si>
  <si>
    <t>ESPHome.io, HomeAssistant.io</t>
  </si>
  <si>
    <t>GĐ1 - Phần cứng &amp; Firmware</t>
  </si>
  <si>
    <t>Ôn GPIO digital/analog, PWM, ADC trên ESP32</t>
  </si>
  <si>
    <t>Kênh E-smart - Khóa học ESP32 căn bản</t>
  </si>
  <si>
    <t>Học và lắp cảm biến chuyển động PIR</t>
  </si>
  <si>
    <t>Học và lắp cảm biến ánh sáng (quang trở LDR)</t>
  </si>
  <si>
    <t>Học và lắp cảm biến cửa từ (reed switch)</t>
  </si>
  <si>
    <t>Học điều khiển module relay</t>
  </si>
  <si>
    <t>Học điều khiển servo motor</t>
  </si>
  <si>
    <t>Hiểu ngắt (interrupt) và timer trên ESP32</t>
  </si>
  <si>
    <t>Kênh E-smart - Lập trình ESP32</t>
  </si>
  <si>
    <t>Tự viết code đọc đa cảm biến, không copy nguyên code mẫu</t>
  </si>
  <si>
    <t>Demo: lắp mạch đèn tự động (LDR + PIR + relay) - phần cứng</t>
  </si>
  <si>
    <t>Demo: hoàn thiện code và kiểm thử đèn tự động</t>
  </si>
  <si>
    <t>GĐ2 - Giao thức kết nối</t>
  </si>
  <si>
    <t>Ôn lại kiến thức MQTT đã học (paho-mqtt)</t>
  </si>
  <si>
    <t>Học QoS (0/1/2) và ý nghĩa từng mức</t>
  </si>
  <si>
    <t>Học Retained message và Last Will and Testament (LWT)</t>
  </si>
  <si>
    <t>Tự dựng MQTT broker (Mosquitto Docker hoặc HiveMQ Cloud)</t>
  </si>
  <si>
    <t>Thiết kế cấu trúc topic chuẩn cho nhà thông minh</t>
  </si>
  <si>
    <t>Xem playlist Điều khiển thiết bị bằng Bluetooth</t>
  </si>
  <si>
    <t>Kênh E-smart</t>
  </si>
  <si>
    <t>Demo: 2 ESP32 giao tiếp qua MQTT (gửi cảm biến + nhận lệnh)</t>
  </si>
  <si>
    <t>GĐ3 - Backend/Cloud</t>
  </si>
  <si>
    <t>Viết server subscribe MQTT broker (bắt đầu)</t>
  </si>
  <si>
    <t>Node.js/Express hoặc Python/FastAPI</t>
  </si>
  <si>
    <t>Viết server subscribe MQTT broker (hoàn thiện)</t>
  </si>
  <si>
    <t>Lưu trạng thái thiết bị vào database (PostgreSQL/MongoDB)</t>
  </si>
  <si>
    <t>Tìm hiểu time-series database (InfluxDB) cho dữ liệu cảm biến</t>
  </si>
  <si>
    <t>Xây REST API - bật/tắt thiết bị</t>
  </si>
  <si>
    <t>Xây REST API - lấy lịch sử dữ liệu</t>
  </si>
  <si>
    <t>Thêm WebSocket đẩy dữ liệu realtime (bắt đầu)</t>
  </si>
  <si>
    <t>Thêm WebSocket đẩy dữ liệu realtime (hoàn thiện)</t>
  </si>
  <si>
    <t>Demo: test toàn bộ API, log lịch sử nhiệt độ/độ ẩm</t>
  </si>
  <si>
    <t>GĐ4 - Frontend/Dashboard</t>
  </si>
  <si>
    <t>Dựng khung dashboard React/Vue</t>
  </si>
  <si>
    <t>Hiển thị trạng thái thiết bị theo thời gian thực</t>
  </si>
  <si>
    <t>Kết nối WebSocket từ Giai đoạn 3</t>
  </si>
  <si>
    <t>Vẽ biểu đồ nhiệt độ/độ ẩm (Chart.js/Recharts)</t>
  </si>
  <si>
    <t>Làm nút bật/tắt thiết bị</t>
  </si>
  <si>
    <t>Làm slider điều chỉnh (ví dụ độ sáng đèn)</t>
  </si>
  <si>
    <t>(Tùy chọn) Làm bản responsive cho di động</t>
  </si>
  <si>
    <t>Demo: hoàn thiện dashboard điều khiển</t>
  </si>
  <si>
    <t>Demo: kiểm thử Giai đoạn 1-4 hoạt động cùng nhau</t>
  </si>
  <si>
    <t>GĐ5 - Bảo mật</t>
  </si>
  <si>
    <t>Bật TLS cho kết nối MQTT (port 8883)</t>
  </si>
  <si>
    <t>Thêm username/password hoặc client certificate cho thiết bị MQTT</t>
  </si>
  <si>
    <t>Bảo mật REST API bằng JWT hoặc API key</t>
  </si>
  <si>
    <t>Tìm hiểu OTA an toàn; (tùy chọn) tách VLAN riêng cho IoT</t>
  </si>
  <si>
    <t>GĐ6 - Automation &amp; AI/Voice</t>
  </si>
  <si>
    <t>Viết rule engine đơn giản (nếu nhiệt độ &gt; X thì bật quạt)</t>
  </si>
  <si>
    <t>(Tùy chọn) Thử Node-RED cho automation kéo-thả</t>
  </si>
  <si>
    <t>Xem playlist Chatbot xiaozhi (phần 1)</t>
  </si>
  <si>
    <t>Xem playlist Chatbot xiaozhi (phần 2)</t>
  </si>
  <si>
    <t>Xem playlist Lập trình ESP32 bằng ChatGPT</t>
  </si>
  <si>
    <t>(Tùy chọn) Thử tích hợp một lệnh điều khiển bằng giọng nói</t>
  </si>
  <si>
    <t>(Tùy chọn) Tìm hiểu Edge AI/TinyML trên ESP32</t>
  </si>
  <si>
    <t>Demo: thêm automation rule vào hệ thống</t>
  </si>
  <si>
    <t>GĐ7 - Capstone</t>
  </si>
  <si>
    <t>Xác định phạm vi cụ thể (ví dụ Smart Room)</t>
  </si>
  <si>
    <t>Lắp đặt phần cứng hoàn chỉnh (node 1)</t>
  </si>
  <si>
    <t>Lắp đặt phần cứng hoàn chỉnh (node 2-3)</t>
  </si>
  <si>
    <t>Kiểm thử pipeline ESP32 -&gt; MQTT -&gt; Backend</t>
  </si>
  <si>
    <t>Kiểm thử pipeline -&gt; Frontend Dashboard</t>
  </si>
  <si>
    <t>Thêm automation rule cho hệ thống hoàn chỉnh</t>
  </si>
  <si>
    <t>Viết tài liệu mô tả kiến trúc hệ thống</t>
  </si>
  <si>
    <t>Chuẩn bị demo trực tiếp hoặc quay video</t>
  </si>
  <si>
    <t>Demo cuối cùng + rà soát toàn bộ checklist</t>
  </si>
  <si>
    <t>TỔNG QUAN TIẾN ĐỘ</t>
  </si>
  <si>
    <t>Bảng này tự cập nhật dựa trên cột Trạng thái ở sheet Checklist.</t>
  </si>
  <si>
    <t>Tổng số ngày</t>
  </si>
  <si>
    <t>Đã hoàn thành</t>
  </si>
  <si>
    <t>% hoàn thành</t>
  </si>
  <si>
    <t>TỔNG CỘNG</t>
  </si>
  <si>
    <t>Đang làm</t>
  </si>
  <si>
    <t>chưa mua thiết bị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</si>
</sst>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5"/>
      <color rgb="FF1D6F8C"/>
      <name val="Cambria"/>
      <charset val="1"/>
    </font>
    <font>
      <i/>
      <sz val="10"/>
      <color rgb="FF666666"/>
      <name val="Cambria"/>
      <charset val="1"/>
    </font>
    <font>
      <b/>
      <sz val="11"/>
      <name val="Cambria"/>
      <charset val="1"/>
    </font>
    <font>
      <i/>
      <sz val="11"/>
      <color rgb="FF666666"/>
      <name val="Cambria"/>
      <charset val="1"/>
    </font>
    <font>
      <b/>
      <sz val="11"/>
      <color rgb="FFFFFFFF"/>
      <name val="Cambria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6CC"/>
        <bgColor rgb="FFFDF3E0"/>
      </patternFill>
    </fill>
    <fill>
      <patternFill patternType="solid">
        <fgColor rgb="FF1D6F8C"/>
        <bgColor rgb="FF008080"/>
      </patternFill>
    </fill>
    <fill>
      <patternFill patternType="solid">
        <fgColor rgb="FFF2F2F2"/>
        <bgColor rgb="FFE6F5F0"/>
      </patternFill>
    </fill>
    <fill>
      <patternFill patternType="solid">
        <fgColor rgb="FFFCE8E6"/>
        <bgColor rgb="FFFCEAF0"/>
      </patternFill>
    </fill>
    <fill>
      <patternFill patternType="solid">
        <fgColor rgb="FFFDF3E0"/>
        <bgColor rgb="FFFFF6CC"/>
      </patternFill>
    </fill>
    <fill>
      <patternFill patternType="solid">
        <fgColor rgb="FFE6F5F0"/>
        <bgColor rgb="FFEAF7E6"/>
      </patternFill>
    </fill>
    <fill>
      <patternFill patternType="solid">
        <fgColor rgb="FFE6F0FA"/>
        <bgColor rgb="FFE6F5F0"/>
      </patternFill>
    </fill>
    <fill>
      <patternFill patternType="solid">
        <fgColor rgb="FFEFEAFB"/>
        <bgColor rgb="FFE6F0FA"/>
      </patternFill>
    </fill>
    <fill>
      <patternFill patternType="solid">
        <fgColor rgb="FFFCEAF0"/>
        <bgColor rgb="FFFCE8E6"/>
      </patternFill>
    </fill>
    <fill>
      <patternFill patternType="solid">
        <fgColor rgb="FFEAF7E6"/>
        <bgColor rgb="FFE6F5F0"/>
      </patternFill>
    </fill>
    <fill>
      <patternFill patternType="solid">
        <fgColor rgb="FFDDDDDD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/>
    <xf numFmtId="14" fontId="3" fillId="2" borderId="1" xfId="0" applyNumberFormat="1" applyFont="1" applyFill="1" applyBorder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/>
    </xf>
    <xf numFmtId="14" fontId="0" fillId="11" borderId="1" xfId="0" applyNumberFormat="1" applyFill="1" applyBorder="1" applyAlignment="1">
      <alignment horizontal="center"/>
    </xf>
    <xf numFmtId="0" fontId="0" fillId="11" borderId="1" xfId="0" applyFill="1" applyBorder="1"/>
    <xf numFmtId="0" fontId="0" fillId="11" borderId="1" xfId="0" applyFill="1" applyBorder="1" applyAlignment="1">
      <alignment vertical="center" wrapText="1"/>
    </xf>
    <xf numFmtId="9" fontId="0" fillId="4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9" fontId="0" fillId="7" borderId="1" xfId="0" applyNumberFormat="1" applyFill="1" applyBorder="1" applyAlignment="1">
      <alignment horizontal="center"/>
    </xf>
    <xf numFmtId="9" fontId="0" fillId="8" borderId="1" xfId="0" applyNumberFormat="1" applyFill="1" applyBorder="1" applyAlignment="1">
      <alignment horizontal="center"/>
    </xf>
    <xf numFmtId="9" fontId="0" fillId="9" borderId="1" xfId="0" applyNumberFormat="1" applyFill="1" applyBorder="1" applyAlignment="1">
      <alignment horizontal="center"/>
    </xf>
    <xf numFmtId="9" fontId="0" fillId="10" borderId="1" xfId="0" applyNumberFormat="1" applyFill="1" applyBorder="1" applyAlignment="1">
      <alignment horizontal="center"/>
    </xf>
    <xf numFmtId="9" fontId="0" fillId="11" borderId="1" xfId="0" applyNumberFormat="1" applyFill="1" applyBorder="1" applyAlignment="1">
      <alignment horizontal="center"/>
    </xf>
    <xf numFmtId="0" fontId="3" fillId="12" borderId="1" xfId="0" applyFont="1" applyFill="1" applyBorder="1" applyAlignment="1">
      <alignment horizontal="left"/>
    </xf>
    <xf numFmtId="0" fontId="3" fillId="12" borderId="1" xfId="0" applyFont="1" applyFill="1" applyBorder="1" applyAlignment="1">
      <alignment horizontal="center"/>
    </xf>
    <xf numFmtId="9" fontId="3" fillId="1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FCEBB0"/>
        </patternFill>
      </fill>
    </dxf>
    <dxf>
      <font>
        <b/>
      </font>
      <fill>
        <patternFill>
          <bgColor rgb="FFC6E8C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F3E0"/>
      <rgbColor rgb="FFFF00FF"/>
      <rgbColor rgb="FF00FFFF"/>
      <rgbColor rgb="FF800000"/>
      <rgbColor rgb="FF008000"/>
      <rgbColor rgb="FF000080"/>
      <rgbColor rgb="FF808000"/>
      <rgbColor rgb="FF800080"/>
      <rgbColor rgb="FF1D6F8C"/>
      <rgbColor rgb="FFDDDDDD"/>
      <rgbColor rgb="FF808080"/>
      <rgbColor rgb="FF9999FF"/>
      <rgbColor rgb="FF993366"/>
      <rgbColor rgb="FFFFF6CC"/>
      <rgbColor rgb="FFE6F5F0"/>
      <rgbColor rgb="FF660066"/>
      <rgbColor rgb="FFFF8080"/>
      <rgbColor rgb="FF0066CC"/>
      <rgbColor rgb="FFD9D9D9"/>
      <rgbColor rgb="FF000080"/>
      <rgbColor rgb="FFFF00FF"/>
      <rgbColor rgb="FFEAF7E6"/>
      <rgbColor rgb="FF00FFFF"/>
      <rgbColor rgb="FF800080"/>
      <rgbColor rgb="FF800000"/>
      <rgbColor rgb="FF008080"/>
      <rgbColor rgb="FF0000FF"/>
      <rgbColor rgb="FF00CCFF"/>
      <rgbColor rgb="FFE6F0FA"/>
      <rgbColor rgb="FFC6E8C6"/>
      <rgbColor rgb="FFFCEBB0"/>
      <rgbColor rgb="FFEFEAFB"/>
      <rgbColor rgb="FFFCEAF0"/>
      <rgbColor rgb="FFF2F2F2"/>
      <rgbColor rgb="FFFCE8E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2"/>
  <sheetViews>
    <sheetView showGridLines="0" tabSelected="1" zoomScale="107" zoomScaleNormal="100" workbookViewId="0">
      <pane ySplit="5" topLeftCell="A6" activePane="bottomLeft" state="frozen"/>
      <selection pane="bottomLeft" activeCell="G7" sqref="G7"/>
    </sheetView>
  </sheetViews>
  <sheetFormatPr defaultColWidth="8.6328125" defaultRowHeight="14.5" x14ac:dyDescent="0.35"/>
  <cols>
    <col min="1" max="1" width="8" customWidth="1"/>
    <col min="2" max="2" width="14" customWidth="1"/>
    <col min="3" max="3" width="24" customWidth="1"/>
    <col min="4" max="4" width="58" customWidth="1"/>
    <col min="5" max="5" width="26" customWidth="1"/>
    <col min="6" max="6" width="15" customWidth="1"/>
  </cols>
  <sheetData>
    <row r="1" spans="1:7" ht="24" customHeight="1" x14ac:dyDescent="0.35">
      <c r="A1" s="3" t="s">
        <v>0</v>
      </c>
      <c r="B1" s="3"/>
      <c r="C1" s="3"/>
      <c r="D1" s="3"/>
      <c r="E1" s="3"/>
      <c r="F1" s="3"/>
    </row>
    <row r="2" spans="1:7" x14ac:dyDescent="0.35">
      <c r="A2" s="2" t="s">
        <v>1</v>
      </c>
      <c r="B2" s="2"/>
      <c r="C2" s="2"/>
      <c r="D2" s="2"/>
      <c r="E2" s="2"/>
      <c r="F2" s="2"/>
    </row>
    <row r="3" spans="1:7" x14ac:dyDescent="0.35">
      <c r="A3" s="4" t="s">
        <v>2</v>
      </c>
      <c r="B3" s="5">
        <v>46257</v>
      </c>
      <c r="D3" s="6" t="s">
        <v>3</v>
      </c>
      <c r="F3" s="4">
        <v>57</v>
      </c>
    </row>
    <row r="5" spans="1:7" ht="21.75" customHeight="1" x14ac:dyDescent="0.35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</row>
    <row r="6" spans="1:7" ht="30" customHeight="1" x14ac:dyDescent="0.35">
      <c r="A6" s="8">
        <v>1</v>
      </c>
      <c r="B6" s="9">
        <f t="shared" ref="B6:B37" si="0">$B$3+(A6-1)</f>
        <v>46257</v>
      </c>
      <c r="C6" s="10" t="s">
        <v>10</v>
      </c>
      <c r="D6" s="11" t="s">
        <v>11</v>
      </c>
      <c r="E6" s="11" t="s">
        <v>12</v>
      </c>
      <c r="F6" s="12" t="s">
        <v>86</v>
      </c>
      <c r="G6" t="s">
        <v>87</v>
      </c>
    </row>
    <row r="7" spans="1:7" ht="30" customHeight="1" x14ac:dyDescent="0.35">
      <c r="A7" s="13">
        <v>2</v>
      </c>
      <c r="B7" s="14">
        <f t="shared" si="0"/>
        <v>46258</v>
      </c>
      <c r="C7" s="15" t="s">
        <v>13</v>
      </c>
      <c r="D7" s="16" t="s">
        <v>14</v>
      </c>
      <c r="E7" s="16" t="s">
        <v>15</v>
      </c>
      <c r="F7" s="12"/>
    </row>
    <row r="8" spans="1:7" ht="30" customHeight="1" x14ac:dyDescent="0.35">
      <c r="A8" s="13">
        <v>3</v>
      </c>
      <c r="B8" s="14">
        <f t="shared" si="0"/>
        <v>46259</v>
      </c>
      <c r="C8" s="15" t="s">
        <v>13</v>
      </c>
      <c r="D8" s="16" t="s">
        <v>16</v>
      </c>
      <c r="E8" s="16"/>
      <c r="F8" s="12"/>
    </row>
    <row r="9" spans="1:7" ht="30" customHeight="1" x14ac:dyDescent="0.35">
      <c r="A9" s="13">
        <v>4</v>
      </c>
      <c r="B9" s="14">
        <f t="shared" si="0"/>
        <v>46260</v>
      </c>
      <c r="C9" s="15" t="s">
        <v>13</v>
      </c>
      <c r="D9" s="16" t="s">
        <v>17</v>
      </c>
      <c r="E9" s="16"/>
      <c r="F9" s="12"/>
    </row>
    <row r="10" spans="1:7" ht="30" customHeight="1" x14ac:dyDescent="0.35">
      <c r="A10" s="13">
        <v>5</v>
      </c>
      <c r="B10" s="14">
        <f t="shared" si="0"/>
        <v>46261</v>
      </c>
      <c r="C10" s="15" t="s">
        <v>13</v>
      </c>
      <c r="D10" s="16" t="s">
        <v>18</v>
      </c>
      <c r="E10" s="16"/>
      <c r="F10" s="12"/>
    </row>
    <row r="11" spans="1:7" ht="30" customHeight="1" x14ac:dyDescent="0.35">
      <c r="A11" s="13">
        <v>6</v>
      </c>
      <c r="B11" s="14">
        <f t="shared" si="0"/>
        <v>46262</v>
      </c>
      <c r="C11" s="15" t="s">
        <v>13</v>
      </c>
      <c r="D11" s="16" t="s">
        <v>19</v>
      </c>
      <c r="E11" s="16"/>
      <c r="F11" s="12"/>
    </row>
    <row r="12" spans="1:7" ht="30" customHeight="1" x14ac:dyDescent="0.35">
      <c r="A12" s="13">
        <v>7</v>
      </c>
      <c r="B12" s="14">
        <f t="shared" si="0"/>
        <v>46263</v>
      </c>
      <c r="C12" s="15" t="s">
        <v>13</v>
      </c>
      <c r="D12" s="16" t="s">
        <v>20</v>
      </c>
      <c r="E12" s="16"/>
      <c r="F12" s="12"/>
    </row>
    <row r="13" spans="1:7" ht="30" customHeight="1" x14ac:dyDescent="0.35">
      <c r="A13" s="13">
        <v>8</v>
      </c>
      <c r="B13" s="14">
        <f t="shared" si="0"/>
        <v>46264</v>
      </c>
      <c r="C13" s="15" t="s">
        <v>13</v>
      </c>
      <c r="D13" s="16" t="s">
        <v>21</v>
      </c>
      <c r="E13" s="16" t="s">
        <v>22</v>
      </c>
      <c r="F13" s="12"/>
    </row>
    <row r="14" spans="1:7" ht="30" customHeight="1" x14ac:dyDescent="0.35">
      <c r="A14" s="13">
        <v>9</v>
      </c>
      <c r="B14" s="14">
        <f t="shared" si="0"/>
        <v>46265</v>
      </c>
      <c r="C14" s="15" t="s">
        <v>13</v>
      </c>
      <c r="D14" s="16" t="s">
        <v>23</v>
      </c>
      <c r="E14" s="16"/>
      <c r="F14" s="12"/>
    </row>
    <row r="15" spans="1:7" ht="30" customHeight="1" x14ac:dyDescent="0.35">
      <c r="A15" s="13">
        <v>10</v>
      </c>
      <c r="B15" s="14">
        <f t="shared" si="0"/>
        <v>46266</v>
      </c>
      <c r="C15" s="15" t="s">
        <v>13</v>
      </c>
      <c r="D15" s="16" t="s">
        <v>24</v>
      </c>
      <c r="E15" s="16"/>
      <c r="F15" s="12"/>
    </row>
    <row r="16" spans="1:7" ht="30" customHeight="1" x14ac:dyDescent="0.35">
      <c r="A16" s="13">
        <v>11</v>
      </c>
      <c r="B16" s="14">
        <f t="shared" si="0"/>
        <v>46267</v>
      </c>
      <c r="C16" s="15" t="s">
        <v>13</v>
      </c>
      <c r="D16" s="16" t="s">
        <v>25</v>
      </c>
      <c r="E16" s="16"/>
      <c r="F16" s="12"/>
    </row>
    <row r="17" spans="1:6" ht="30" customHeight="1" x14ac:dyDescent="0.35">
      <c r="A17" s="17">
        <v>12</v>
      </c>
      <c r="B17" s="18">
        <f t="shared" si="0"/>
        <v>46268</v>
      </c>
      <c r="C17" s="19" t="s">
        <v>26</v>
      </c>
      <c r="D17" s="20" t="s">
        <v>27</v>
      </c>
      <c r="E17" s="20"/>
      <c r="F17" s="12"/>
    </row>
    <row r="18" spans="1:6" ht="30" customHeight="1" x14ac:dyDescent="0.35">
      <c r="A18" s="17">
        <v>13</v>
      </c>
      <c r="B18" s="18">
        <f t="shared" si="0"/>
        <v>46269</v>
      </c>
      <c r="C18" s="19" t="s">
        <v>26</v>
      </c>
      <c r="D18" s="20" t="s">
        <v>28</v>
      </c>
      <c r="E18" s="20"/>
      <c r="F18" s="12"/>
    </row>
    <row r="19" spans="1:6" ht="30" customHeight="1" x14ac:dyDescent="0.35">
      <c r="A19" s="17">
        <v>14</v>
      </c>
      <c r="B19" s="18">
        <f t="shared" si="0"/>
        <v>46270</v>
      </c>
      <c r="C19" s="19" t="s">
        <v>26</v>
      </c>
      <c r="D19" s="20" t="s">
        <v>29</v>
      </c>
      <c r="E19" s="20"/>
      <c r="F19" s="12"/>
    </row>
    <row r="20" spans="1:6" ht="30" customHeight="1" x14ac:dyDescent="0.35">
      <c r="A20" s="17">
        <v>15</v>
      </c>
      <c r="B20" s="18">
        <f t="shared" si="0"/>
        <v>46271</v>
      </c>
      <c r="C20" s="19" t="s">
        <v>26</v>
      </c>
      <c r="D20" s="20" t="s">
        <v>30</v>
      </c>
      <c r="E20" s="20"/>
      <c r="F20" s="12"/>
    </row>
    <row r="21" spans="1:6" ht="30" customHeight="1" x14ac:dyDescent="0.35">
      <c r="A21" s="17">
        <v>16</v>
      </c>
      <c r="B21" s="18">
        <f t="shared" si="0"/>
        <v>46272</v>
      </c>
      <c r="C21" s="19" t="s">
        <v>26</v>
      </c>
      <c r="D21" s="20" t="s">
        <v>31</v>
      </c>
      <c r="E21" s="20"/>
      <c r="F21" s="12"/>
    </row>
    <row r="22" spans="1:6" ht="30" customHeight="1" x14ac:dyDescent="0.35">
      <c r="A22" s="17">
        <v>17</v>
      </c>
      <c r="B22" s="18">
        <f t="shared" si="0"/>
        <v>46273</v>
      </c>
      <c r="C22" s="19" t="s">
        <v>26</v>
      </c>
      <c r="D22" s="20" t="s">
        <v>32</v>
      </c>
      <c r="E22" s="20" t="s">
        <v>33</v>
      </c>
      <c r="F22" s="12"/>
    </row>
    <row r="23" spans="1:6" ht="30" customHeight="1" x14ac:dyDescent="0.35">
      <c r="A23" s="17">
        <v>18</v>
      </c>
      <c r="B23" s="18">
        <f t="shared" si="0"/>
        <v>46274</v>
      </c>
      <c r="C23" s="19" t="s">
        <v>26</v>
      </c>
      <c r="D23" s="20" t="s">
        <v>34</v>
      </c>
      <c r="E23" s="20"/>
      <c r="F23" s="12"/>
    </row>
    <row r="24" spans="1:6" ht="30" customHeight="1" x14ac:dyDescent="0.35">
      <c r="A24" s="21">
        <v>19</v>
      </c>
      <c r="B24" s="22">
        <f t="shared" si="0"/>
        <v>46275</v>
      </c>
      <c r="C24" s="23" t="s">
        <v>35</v>
      </c>
      <c r="D24" s="24" t="s">
        <v>36</v>
      </c>
      <c r="E24" s="24" t="s">
        <v>37</v>
      </c>
      <c r="F24" s="12"/>
    </row>
    <row r="25" spans="1:6" ht="30" customHeight="1" x14ac:dyDescent="0.35">
      <c r="A25" s="21">
        <v>20</v>
      </c>
      <c r="B25" s="22">
        <f t="shared" si="0"/>
        <v>46276</v>
      </c>
      <c r="C25" s="23" t="s">
        <v>35</v>
      </c>
      <c r="D25" s="24" t="s">
        <v>38</v>
      </c>
      <c r="E25" s="24"/>
      <c r="F25" s="12"/>
    </row>
    <row r="26" spans="1:6" ht="30" customHeight="1" x14ac:dyDescent="0.35">
      <c r="A26" s="21">
        <v>21</v>
      </c>
      <c r="B26" s="22">
        <f t="shared" si="0"/>
        <v>46277</v>
      </c>
      <c r="C26" s="23" t="s">
        <v>35</v>
      </c>
      <c r="D26" s="24" t="s">
        <v>39</v>
      </c>
      <c r="E26" s="24"/>
      <c r="F26" s="12"/>
    </row>
    <row r="27" spans="1:6" ht="30" customHeight="1" x14ac:dyDescent="0.35">
      <c r="A27" s="21">
        <v>22</v>
      </c>
      <c r="B27" s="22">
        <f t="shared" si="0"/>
        <v>46278</v>
      </c>
      <c r="C27" s="23" t="s">
        <v>35</v>
      </c>
      <c r="D27" s="24" t="s">
        <v>40</v>
      </c>
      <c r="E27" s="24"/>
      <c r="F27" s="12"/>
    </row>
    <row r="28" spans="1:6" ht="30" customHeight="1" x14ac:dyDescent="0.35">
      <c r="A28" s="21">
        <v>23</v>
      </c>
      <c r="B28" s="22">
        <f t="shared" si="0"/>
        <v>46279</v>
      </c>
      <c r="C28" s="23" t="s">
        <v>35</v>
      </c>
      <c r="D28" s="24" t="s">
        <v>41</v>
      </c>
      <c r="E28" s="24"/>
      <c r="F28" s="12"/>
    </row>
    <row r="29" spans="1:6" ht="30" customHeight="1" x14ac:dyDescent="0.35">
      <c r="A29" s="21">
        <v>24</v>
      </c>
      <c r="B29" s="22">
        <f t="shared" si="0"/>
        <v>46280</v>
      </c>
      <c r="C29" s="23" t="s">
        <v>35</v>
      </c>
      <c r="D29" s="24" t="s">
        <v>42</v>
      </c>
      <c r="E29" s="24"/>
      <c r="F29" s="12"/>
    </row>
    <row r="30" spans="1:6" ht="30" customHeight="1" x14ac:dyDescent="0.35">
      <c r="A30" s="21">
        <v>25</v>
      </c>
      <c r="B30" s="22">
        <f t="shared" si="0"/>
        <v>46281</v>
      </c>
      <c r="C30" s="23" t="s">
        <v>35</v>
      </c>
      <c r="D30" s="24" t="s">
        <v>43</v>
      </c>
      <c r="E30" s="24"/>
      <c r="F30" s="12"/>
    </row>
    <row r="31" spans="1:6" ht="30" customHeight="1" x14ac:dyDescent="0.35">
      <c r="A31" s="21">
        <v>26</v>
      </c>
      <c r="B31" s="22">
        <f t="shared" si="0"/>
        <v>46282</v>
      </c>
      <c r="C31" s="23" t="s">
        <v>35</v>
      </c>
      <c r="D31" s="24" t="s">
        <v>44</v>
      </c>
      <c r="E31" s="24"/>
      <c r="F31" s="12"/>
    </row>
    <row r="32" spans="1:6" ht="30" customHeight="1" x14ac:dyDescent="0.35">
      <c r="A32" s="21">
        <v>27</v>
      </c>
      <c r="B32" s="22">
        <f t="shared" si="0"/>
        <v>46283</v>
      </c>
      <c r="C32" s="23" t="s">
        <v>35</v>
      </c>
      <c r="D32" s="24" t="s">
        <v>45</v>
      </c>
      <c r="E32" s="24"/>
      <c r="F32" s="12"/>
    </row>
    <row r="33" spans="1:6" ht="30" customHeight="1" x14ac:dyDescent="0.35">
      <c r="A33" s="25">
        <v>28</v>
      </c>
      <c r="B33" s="26">
        <f t="shared" si="0"/>
        <v>46284</v>
      </c>
      <c r="C33" s="27" t="s">
        <v>46</v>
      </c>
      <c r="D33" s="28" t="s">
        <v>47</v>
      </c>
      <c r="E33" s="28"/>
      <c r="F33" s="12"/>
    </row>
    <row r="34" spans="1:6" ht="30" customHeight="1" x14ac:dyDescent="0.35">
      <c r="A34" s="25">
        <v>29</v>
      </c>
      <c r="B34" s="26">
        <f t="shared" si="0"/>
        <v>46285</v>
      </c>
      <c r="C34" s="27" t="s">
        <v>46</v>
      </c>
      <c r="D34" s="28" t="s">
        <v>48</v>
      </c>
      <c r="E34" s="28"/>
      <c r="F34" s="12"/>
    </row>
    <row r="35" spans="1:6" ht="30" customHeight="1" x14ac:dyDescent="0.35">
      <c r="A35" s="25">
        <v>30</v>
      </c>
      <c r="B35" s="26">
        <f t="shared" si="0"/>
        <v>46286</v>
      </c>
      <c r="C35" s="27" t="s">
        <v>46</v>
      </c>
      <c r="D35" s="28" t="s">
        <v>49</v>
      </c>
      <c r="E35" s="28"/>
      <c r="F35" s="12"/>
    </row>
    <row r="36" spans="1:6" ht="30" customHeight="1" x14ac:dyDescent="0.35">
      <c r="A36" s="25">
        <v>31</v>
      </c>
      <c r="B36" s="26">
        <f t="shared" si="0"/>
        <v>46287</v>
      </c>
      <c r="C36" s="27" t="s">
        <v>46</v>
      </c>
      <c r="D36" s="28" t="s">
        <v>50</v>
      </c>
      <c r="E36" s="28"/>
      <c r="F36" s="12"/>
    </row>
    <row r="37" spans="1:6" ht="30" customHeight="1" x14ac:dyDescent="0.35">
      <c r="A37" s="25">
        <v>32</v>
      </c>
      <c r="B37" s="26">
        <f t="shared" si="0"/>
        <v>46288</v>
      </c>
      <c r="C37" s="27" t="s">
        <v>46</v>
      </c>
      <c r="D37" s="28" t="s">
        <v>51</v>
      </c>
      <c r="E37" s="28"/>
      <c r="F37" s="12"/>
    </row>
    <row r="38" spans="1:6" ht="30" customHeight="1" x14ac:dyDescent="0.35">
      <c r="A38" s="25">
        <v>33</v>
      </c>
      <c r="B38" s="26">
        <f t="shared" ref="B38:B69" si="1">$B$3+(A38-1)</f>
        <v>46289</v>
      </c>
      <c r="C38" s="27" t="s">
        <v>46</v>
      </c>
      <c r="D38" s="28" t="s">
        <v>52</v>
      </c>
      <c r="E38" s="28"/>
      <c r="F38" s="12"/>
    </row>
    <row r="39" spans="1:6" ht="30" customHeight="1" x14ac:dyDescent="0.35">
      <c r="A39" s="25">
        <v>34</v>
      </c>
      <c r="B39" s="26">
        <f t="shared" si="1"/>
        <v>46290</v>
      </c>
      <c r="C39" s="27" t="s">
        <v>46</v>
      </c>
      <c r="D39" s="28" t="s">
        <v>53</v>
      </c>
      <c r="E39" s="28"/>
      <c r="F39" s="12"/>
    </row>
    <row r="40" spans="1:6" ht="30" customHeight="1" x14ac:dyDescent="0.35">
      <c r="A40" s="25">
        <v>35</v>
      </c>
      <c r="B40" s="26">
        <f t="shared" si="1"/>
        <v>46291</v>
      </c>
      <c r="C40" s="27" t="s">
        <v>46</v>
      </c>
      <c r="D40" s="28" t="s">
        <v>54</v>
      </c>
      <c r="E40" s="28"/>
      <c r="F40" s="12"/>
    </row>
    <row r="41" spans="1:6" ht="30" customHeight="1" x14ac:dyDescent="0.35">
      <c r="A41" s="25">
        <v>36</v>
      </c>
      <c r="B41" s="26">
        <f t="shared" si="1"/>
        <v>46292</v>
      </c>
      <c r="C41" s="27" t="s">
        <v>46</v>
      </c>
      <c r="D41" s="28" t="s">
        <v>55</v>
      </c>
      <c r="E41" s="28"/>
      <c r="F41" s="12"/>
    </row>
    <row r="42" spans="1:6" ht="30" customHeight="1" x14ac:dyDescent="0.35">
      <c r="A42" s="29">
        <v>37</v>
      </c>
      <c r="B42" s="30">
        <f t="shared" si="1"/>
        <v>46293</v>
      </c>
      <c r="C42" s="31" t="s">
        <v>56</v>
      </c>
      <c r="D42" s="32" t="s">
        <v>57</v>
      </c>
      <c r="E42" s="32"/>
      <c r="F42" s="12"/>
    </row>
    <row r="43" spans="1:6" ht="30" customHeight="1" x14ac:dyDescent="0.35">
      <c r="A43" s="29">
        <v>38</v>
      </c>
      <c r="B43" s="30">
        <f t="shared" si="1"/>
        <v>46294</v>
      </c>
      <c r="C43" s="31" t="s">
        <v>56</v>
      </c>
      <c r="D43" s="32" t="s">
        <v>58</v>
      </c>
      <c r="E43" s="32"/>
      <c r="F43" s="12"/>
    </row>
    <row r="44" spans="1:6" ht="30" customHeight="1" x14ac:dyDescent="0.35">
      <c r="A44" s="29">
        <v>39</v>
      </c>
      <c r="B44" s="30">
        <f t="shared" si="1"/>
        <v>46295</v>
      </c>
      <c r="C44" s="31" t="s">
        <v>56</v>
      </c>
      <c r="D44" s="32" t="s">
        <v>59</v>
      </c>
      <c r="E44" s="32"/>
      <c r="F44" s="12"/>
    </row>
    <row r="45" spans="1:6" ht="30" customHeight="1" x14ac:dyDescent="0.35">
      <c r="A45" s="29">
        <v>40</v>
      </c>
      <c r="B45" s="30">
        <f t="shared" si="1"/>
        <v>46296</v>
      </c>
      <c r="C45" s="31" t="s">
        <v>56</v>
      </c>
      <c r="D45" s="32" t="s">
        <v>60</v>
      </c>
      <c r="E45" s="32"/>
      <c r="F45" s="12"/>
    </row>
    <row r="46" spans="1:6" ht="30" customHeight="1" x14ac:dyDescent="0.35">
      <c r="A46" s="33">
        <v>41</v>
      </c>
      <c r="B46" s="34">
        <f t="shared" si="1"/>
        <v>46297</v>
      </c>
      <c r="C46" s="35" t="s">
        <v>61</v>
      </c>
      <c r="D46" s="36" t="s">
        <v>62</v>
      </c>
      <c r="E46" s="36"/>
      <c r="F46" s="12"/>
    </row>
    <row r="47" spans="1:6" ht="30" customHeight="1" x14ac:dyDescent="0.35">
      <c r="A47" s="33">
        <v>42</v>
      </c>
      <c r="B47" s="34">
        <f t="shared" si="1"/>
        <v>46298</v>
      </c>
      <c r="C47" s="35" t="s">
        <v>61</v>
      </c>
      <c r="D47" s="36" t="s">
        <v>63</v>
      </c>
      <c r="E47" s="36"/>
      <c r="F47" s="12"/>
    </row>
    <row r="48" spans="1:6" ht="30" customHeight="1" x14ac:dyDescent="0.35">
      <c r="A48" s="33">
        <v>43</v>
      </c>
      <c r="B48" s="34">
        <f t="shared" si="1"/>
        <v>46299</v>
      </c>
      <c r="C48" s="35" t="s">
        <v>61</v>
      </c>
      <c r="D48" s="36" t="s">
        <v>64</v>
      </c>
      <c r="E48" s="36" t="s">
        <v>33</v>
      </c>
      <c r="F48" s="12"/>
    </row>
    <row r="49" spans="1:6" ht="30" customHeight="1" x14ac:dyDescent="0.35">
      <c r="A49" s="33">
        <v>44</v>
      </c>
      <c r="B49" s="34">
        <f t="shared" si="1"/>
        <v>46300</v>
      </c>
      <c r="C49" s="35" t="s">
        <v>61</v>
      </c>
      <c r="D49" s="36" t="s">
        <v>65</v>
      </c>
      <c r="E49" s="36" t="s">
        <v>33</v>
      </c>
      <c r="F49" s="12"/>
    </row>
    <row r="50" spans="1:6" ht="30" customHeight="1" x14ac:dyDescent="0.35">
      <c r="A50" s="33">
        <v>45</v>
      </c>
      <c r="B50" s="34">
        <f t="shared" si="1"/>
        <v>46301</v>
      </c>
      <c r="C50" s="35" t="s">
        <v>61</v>
      </c>
      <c r="D50" s="36" t="s">
        <v>66</v>
      </c>
      <c r="E50" s="36" t="s">
        <v>33</v>
      </c>
      <c r="F50" s="12"/>
    </row>
    <row r="51" spans="1:6" ht="30" customHeight="1" x14ac:dyDescent="0.35">
      <c r="A51" s="33">
        <v>46</v>
      </c>
      <c r="B51" s="34">
        <f t="shared" si="1"/>
        <v>46302</v>
      </c>
      <c r="C51" s="35" t="s">
        <v>61</v>
      </c>
      <c r="D51" s="36" t="s">
        <v>67</v>
      </c>
      <c r="E51" s="36"/>
      <c r="F51" s="12"/>
    </row>
    <row r="52" spans="1:6" ht="30" customHeight="1" x14ac:dyDescent="0.35">
      <c r="A52" s="33">
        <v>47</v>
      </c>
      <c r="B52" s="34">
        <f t="shared" si="1"/>
        <v>46303</v>
      </c>
      <c r="C52" s="35" t="s">
        <v>61</v>
      </c>
      <c r="D52" s="36" t="s">
        <v>68</v>
      </c>
      <c r="E52" s="36"/>
      <c r="F52" s="12"/>
    </row>
    <row r="53" spans="1:6" ht="30" customHeight="1" x14ac:dyDescent="0.35">
      <c r="A53" s="33">
        <v>48</v>
      </c>
      <c r="B53" s="34">
        <f t="shared" si="1"/>
        <v>46304</v>
      </c>
      <c r="C53" s="35" t="s">
        <v>61</v>
      </c>
      <c r="D53" s="36" t="s">
        <v>69</v>
      </c>
      <c r="E53" s="36"/>
      <c r="F53" s="12"/>
    </row>
    <row r="54" spans="1:6" ht="30" customHeight="1" x14ac:dyDescent="0.35">
      <c r="A54" s="37">
        <v>49</v>
      </c>
      <c r="B54" s="38">
        <f t="shared" si="1"/>
        <v>46305</v>
      </c>
      <c r="C54" s="39" t="s">
        <v>70</v>
      </c>
      <c r="D54" s="40" t="s">
        <v>71</v>
      </c>
      <c r="E54" s="40"/>
      <c r="F54" s="12"/>
    </row>
    <row r="55" spans="1:6" ht="30" customHeight="1" x14ac:dyDescent="0.35">
      <c r="A55" s="37">
        <v>50</v>
      </c>
      <c r="B55" s="38">
        <f t="shared" si="1"/>
        <v>46306</v>
      </c>
      <c r="C55" s="39" t="s">
        <v>70</v>
      </c>
      <c r="D55" s="40" t="s">
        <v>72</v>
      </c>
      <c r="E55" s="40"/>
      <c r="F55" s="12"/>
    </row>
    <row r="56" spans="1:6" ht="30" customHeight="1" x14ac:dyDescent="0.35">
      <c r="A56" s="37">
        <v>51</v>
      </c>
      <c r="B56" s="38">
        <f t="shared" si="1"/>
        <v>46307</v>
      </c>
      <c r="C56" s="39" t="s">
        <v>70</v>
      </c>
      <c r="D56" s="40" t="s">
        <v>73</v>
      </c>
      <c r="E56" s="40"/>
      <c r="F56" s="12"/>
    </row>
    <row r="57" spans="1:6" ht="30" customHeight="1" x14ac:dyDescent="0.35">
      <c r="A57" s="37">
        <v>52</v>
      </c>
      <c r="B57" s="38">
        <f t="shared" si="1"/>
        <v>46308</v>
      </c>
      <c r="C57" s="39" t="s">
        <v>70</v>
      </c>
      <c r="D57" s="40" t="s">
        <v>74</v>
      </c>
      <c r="E57" s="40"/>
      <c r="F57" s="12"/>
    </row>
    <row r="58" spans="1:6" ht="30" customHeight="1" x14ac:dyDescent="0.35">
      <c r="A58" s="37">
        <v>53</v>
      </c>
      <c r="B58" s="38">
        <f t="shared" si="1"/>
        <v>46309</v>
      </c>
      <c r="C58" s="39" t="s">
        <v>70</v>
      </c>
      <c r="D58" s="40" t="s">
        <v>75</v>
      </c>
      <c r="E58" s="40"/>
      <c r="F58" s="12"/>
    </row>
    <row r="59" spans="1:6" ht="30" customHeight="1" x14ac:dyDescent="0.35">
      <c r="A59" s="37">
        <v>54</v>
      </c>
      <c r="B59" s="38">
        <f t="shared" si="1"/>
        <v>46310</v>
      </c>
      <c r="C59" s="39" t="s">
        <v>70</v>
      </c>
      <c r="D59" s="40" t="s">
        <v>76</v>
      </c>
      <c r="E59" s="40"/>
      <c r="F59" s="12"/>
    </row>
    <row r="60" spans="1:6" ht="30" customHeight="1" x14ac:dyDescent="0.35">
      <c r="A60" s="37">
        <v>55</v>
      </c>
      <c r="B60" s="38">
        <f t="shared" si="1"/>
        <v>46311</v>
      </c>
      <c r="C60" s="39" t="s">
        <v>70</v>
      </c>
      <c r="D60" s="40" t="s">
        <v>77</v>
      </c>
      <c r="E60" s="40"/>
      <c r="F60" s="12"/>
    </row>
    <row r="61" spans="1:6" ht="30" customHeight="1" x14ac:dyDescent="0.35">
      <c r="A61" s="37">
        <v>56</v>
      </c>
      <c r="B61" s="38">
        <f t="shared" si="1"/>
        <v>46312</v>
      </c>
      <c r="C61" s="39" t="s">
        <v>70</v>
      </c>
      <c r="D61" s="40" t="s">
        <v>78</v>
      </c>
      <c r="E61" s="40"/>
      <c r="F61" s="12"/>
    </row>
    <row r="62" spans="1:6" ht="30" customHeight="1" x14ac:dyDescent="0.35">
      <c r="A62" s="37">
        <v>57</v>
      </c>
      <c r="B62" s="38">
        <f t="shared" si="1"/>
        <v>46313</v>
      </c>
      <c r="C62" s="39" t="s">
        <v>70</v>
      </c>
      <c r="D62" s="40" t="s">
        <v>79</v>
      </c>
      <c r="E62" s="40"/>
      <c r="F62" s="12"/>
    </row>
  </sheetData>
  <mergeCells count="2">
    <mergeCell ref="A1:F1"/>
    <mergeCell ref="A2:F2"/>
  </mergeCells>
  <conditionalFormatting sqref="F6:F62">
    <cfRule type="cellIs" dxfId="1" priority="2" operator="equal">
      <formula>"Hoàn thành"</formula>
    </cfRule>
    <cfRule type="cellIs" dxfId="0" priority="3" operator="equal">
      <formula>"Đang làm"</formula>
    </cfRule>
  </conditionalFormatting>
  <dataValidations count="1">
    <dataValidation type="list" allowBlank="1" error="Chọn một giá trị trong danh sách" prompt="Chọn trạng thái" sqref="F6:F62" xr:uid="{00000000-0002-0000-0000-000000000000}">
      <formula1>"Chưa bắt đầu,Đang làm,Hoàn thành"</formula1>
      <formula2>0</formula2>
    </dataValidation>
  </dataValidations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zoomScaleNormal="100" workbookViewId="0">
      <selection activeCell="A3" sqref="A3"/>
    </sheetView>
  </sheetViews>
  <sheetFormatPr defaultColWidth="8.6328125" defaultRowHeight="14.5" x14ac:dyDescent="0.35"/>
  <cols>
    <col min="1" max="1" width="30" customWidth="1"/>
    <col min="2" max="2" width="14" customWidth="1"/>
    <col min="3" max="3" width="16" customWidth="1"/>
    <col min="4" max="4" width="14" customWidth="1"/>
  </cols>
  <sheetData>
    <row r="1" spans="1:4" ht="24" customHeight="1" x14ac:dyDescent="0.4">
      <c r="A1" s="1" t="s">
        <v>80</v>
      </c>
      <c r="B1" s="1"/>
      <c r="C1" s="1"/>
      <c r="D1" s="1"/>
    </row>
    <row r="2" spans="1:4" x14ac:dyDescent="0.35">
      <c r="A2" s="2" t="s">
        <v>81</v>
      </c>
      <c r="B2" s="2"/>
      <c r="C2" s="2"/>
      <c r="D2" s="2"/>
    </row>
    <row r="4" spans="1:4" ht="21.75" customHeight="1" x14ac:dyDescent="0.35">
      <c r="A4" s="7" t="s">
        <v>6</v>
      </c>
      <c r="B4" s="7" t="s">
        <v>82</v>
      </c>
      <c r="C4" s="7" t="s">
        <v>83</v>
      </c>
      <c r="D4" s="7" t="s">
        <v>84</v>
      </c>
    </row>
    <row r="5" spans="1:4" x14ac:dyDescent="0.35">
      <c r="A5" s="10" t="s">
        <v>10</v>
      </c>
      <c r="B5" s="8">
        <f>COUNTIF(Checklist!$C$6:$C$62,A5)</f>
        <v>1</v>
      </c>
      <c r="C5" s="8">
        <f>COUNTIFS(Checklist!$C$6:$C$62,A5,Checklist!$F$6:$F$62,"Hoàn thành")</f>
        <v>0</v>
      </c>
      <c r="D5" s="41">
        <f t="shared" ref="D5:D13" si="0">IFERROR(C5/B5,0)</f>
        <v>0</v>
      </c>
    </row>
    <row r="6" spans="1:4" x14ac:dyDescent="0.35">
      <c r="A6" s="15" t="s">
        <v>13</v>
      </c>
      <c r="B6" s="13">
        <f>COUNTIF(Checklist!$C$6:$C$62,A6)</f>
        <v>10</v>
      </c>
      <c r="C6" s="13">
        <f>COUNTIFS(Checklist!$C$6:$C$62,A6,Checklist!$F$6:$F$62,"Hoàn thành")</f>
        <v>0</v>
      </c>
      <c r="D6" s="42">
        <f t="shared" si="0"/>
        <v>0</v>
      </c>
    </row>
    <row r="7" spans="1:4" x14ac:dyDescent="0.35">
      <c r="A7" s="19" t="s">
        <v>26</v>
      </c>
      <c r="B7" s="17">
        <f>COUNTIF(Checklist!$C$6:$C$62,A7)</f>
        <v>7</v>
      </c>
      <c r="C7" s="17">
        <f>COUNTIFS(Checklist!$C$6:$C$62,A7,Checklist!$F$6:$F$62,"Hoàn thành")</f>
        <v>0</v>
      </c>
      <c r="D7" s="43">
        <f t="shared" si="0"/>
        <v>0</v>
      </c>
    </row>
    <row r="8" spans="1:4" x14ac:dyDescent="0.35">
      <c r="A8" s="23" t="s">
        <v>35</v>
      </c>
      <c r="B8" s="21">
        <f>COUNTIF(Checklist!$C$6:$C$62,A8)</f>
        <v>9</v>
      </c>
      <c r="C8" s="21">
        <f>COUNTIFS(Checklist!$C$6:$C$62,A8,Checklist!$F$6:$F$62,"Hoàn thành")</f>
        <v>0</v>
      </c>
      <c r="D8" s="44">
        <f t="shared" si="0"/>
        <v>0</v>
      </c>
    </row>
    <row r="9" spans="1:4" x14ac:dyDescent="0.35">
      <c r="A9" s="27" t="s">
        <v>46</v>
      </c>
      <c r="B9" s="25">
        <f>COUNTIF(Checklist!$C$6:$C$62,A9)</f>
        <v>9</v>
      </c>
      <c r="C9" s="25">
        <f>COUNTIFS(Checklist!$C$6:$C$62,A9,Checklist!$F$6:$F$62,"Hoàn thành")</f>
        <v>0</v>
      </c>
      <c r="D9" s="45">
        <f t="shared" si="0"/>
        <v>0</v>
      </c>
    </row>
    <row r="10" spans="1:4" x14ac:dyDescent="0.35">
      <c r="A10" s="31" t="s">
        <v>56</v>
      </c>
      <c r="B10" s="29">
        <f>COUNTIF(Checklist!$C$6:$C$62,A10)</f>
        <v>4</v>
      </c>
      <c r="C10" s="29">
        <f>COUNTIFS(Checklist!$C$6:$C$62,A10,Checklist!$F$6:$F$62,"Hoàn thành")</f>
        <v>0</v>
      </c>
      <c r="D10" s="46">
        <f t="shared" si="0"/>
        <v>0</v>
      </c>
    </row>
    <row r="11" spans="1:4" x14ac:dyDescent="0.35">
      <c r="A11" s="35" t="s">
        <v>61</v>
      </c>
      <c r="B11" s="33">
        <f>COUNTIF(Checklist!$C$6:$C$62,A11)</f>
        <v>8</v>
      </c>
      <c r="C11" s="33">
        <f>COUNTIFS(Checklist!$C$6:$C$62,A11,Checklist!$F$6:$F$62,"Hoàn thành")</f>
        <v>0</v>
      </c>
      <c r="D11" s="47">
        <f t="shared" si="0"/>
        <v>0</v>
      </c>
    </row>
    <row r="12" spans="1:4" x14ac:dyDescent="0.35">
      <c r="A12" s="39" t="s">
        <v>70</v>
      </c>
      <c r="B12" s="37">
        <f>COUNTIF(Checklist!$C$6:$C$62,A12)</f>
        <v>9</v>
      </c>
      <c r="C12" s="37">
        <f>COUNTIFS(Checklist!$C$6:$C$62,A12,Checklist!$F$6:$F$62,"Hoàn thành")</f>
        <v>0</v>
      </c>
      <c r="D12" s="48">
        <f t="shared" si="0"/>
        <v>0</v>
      </c>
    </row>
    <row r="13" spans="1:4" x14ac:dyDescent="0.35">
      <c r="A13" s="49" t="s">
        <v>85</v>
      </c>
      <c r="B13" s="50">
        <f>SUM(B5:B12)</f>
        <v>57</v>
      </c>
      <c r="C13" s="50">
        <f>SUM(C5:C12)</f>
        <v>0</v>
      </c>
      <c r="D13" s="51">
        <f t="shared" si="0"/>
        <v>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Checklist</vt:lpstr>
      <vt:lpstr>TongQuan</vt:lpstr>
      <vt:lpstr>Checklist!Print_Titles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Thùy Linh</cp:lastModifiedBy>
  <cp:revision>0</cp:revision>
  <dcterms:created xsi:type="dcterms:W3CDTF">2026-08-23T15:33:02Z</dcterms:created>
  <dcterms:modified xsi:type="dcterms:W3CDTF">2026-08-23T16:30:48Z</dcterms:modified>
  <dc:language>en-US</dc:language>
</cp:coreProperties>
</file>